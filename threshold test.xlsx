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Physicell_1.9.1 (modified)\PhysiCell\Glioma_Tissue_Michael_Barish_2022-10-30\"/>
    </mc:Choice>
  </mc:AlternateContent>
  <xr:revisionPtr revIDLastSave="0" documentId="13_ncr:1_{5121CA2F-42E5-4457-8BF0-B8151116F7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ptimal thresholds" sheetId="1" r:id="rId1"/>
    <sheet name="PBT025 summary" sheetId="4" r:id="rId2"/>
    <sheet name="PBT018 summary" sheetId="6" r:id="rId3"/>
    <sheet name="PBT030 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D10" i="1"/>
  <c r="D9" i="1"/>
  <c r="D8" i="1"/>
  <c r="B10" i="1"/>
  <c r="B9" i="1"/>
  <c r="B8" i="1"/>
  <c r="C10" i="1"/>
  <c r="C9" i="1"/>
  <c r="C8" i="1"/>
</calcChain>
</file>

<file path=xl/sharedStrings.xml><?xml version="1.0" encoding="utf-8"?>
<sst xmlns="http://schemas.openxmlformats.org/spreadsheetml/2006/main" count="28" uniqueCount="25">
  <si>
    <t>PBT030</t>
  </si>
  <si>
    <t>EGFR threshold</t>
  </si>
  <si>
    <t>HER2 threshold</t>
  </si>
  <si>
    <t>IL13 threshold</t>
  </si>
  <si>
    <t>EGFR ratio</t>
  </si>
  <si>
    <t>HER2 ratio</t>
  </si>
  <si>
    <t>IL13 ratio</t>
  </si>
  <si>
    <t>PBT018</t>
  </si>
  <si>
    <t>PBT025</t>
  </si>
  <si>
    <t>Target EGFR ratio</t>
  </si>
  <si>
    <t>Target HER2 ratio</t>
  </si>
  <si>
    <t>Target IL13 ratio</t>
  </si>
  <si>
    <t>error</t>
  </si>
  <si>
    <t>PBT018 EGFR ratio</t>
  </si>
  <si>
    <t>PBT018 HER2 ratio</t>
  </si>
  <si>
    <t>PBT018 IL13 ratio</t>
  </si>
  <si>
    <t>PBT025 EGFR ratio</t>
  </si>
  <si>
    <t>PBT025 HER2 ratio</t>
  </si>
  <si>
    <t>PBT025 IL13 ratio</t>
  </si>
  <si>
    <t>PBT030 EGFR ratio</t>
  </si>
  <si>
    <t>PBT030 HER2 ratio</t>
  </si>
  <si>
    <t>PBT030 IL13 ratio</t>
  </si>
  <si>
    <t>PBT018 thresholds tested</t>
  </si>
  <si>
    <t>PBT025 thresholds tested</t>
  </si>
  <si>
    <t>PBT030 thresholds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</si>
</sst>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8" sqref="B8"/>
    </sheetView>
  </sheetViews>
  <sheetFormatPr defaultRowHeight="14.4" x14ac:dyDescent="0.3"/>
  <cols>
    <col min="1" max="1" width="20.6640625" bestFit="1" customWidth="1"/>
    <col min="2" max="2" width="7.109375" bestFit="1" customWidth="1"/>
    <col min="3" max="3" width="8.109375" bestFit="1" customWidth="1"/>
    <col min="5" max="5" width="28.6640625" bestFit="1" customWidth="1"/>
    <col min="10" max="10" width="34.88671875" bestFit="1" customWidth="1"/>
  </cols>
  <sheetData>
    <row r="1" spans="1:4" x14ac:dyDescent="0.3">
      <c r="B1" t="s">
        <v>0</v>
      </c>
      <c r="C1" t="s">
        <v>7</v>
      </c>
      <c r="D1" t="s">
        <v>8</v>
      </c>
    </row>
    <row r="2" spans="1:4" x14ac:dyDescent="0.3">
      <c r="A2" t="s">
        <v>1</v>
      </c>
      <c r="B2">
        <v>35</v>
      </c>
      <c r="C2">
        <v>80</v>
      </c>
      <c r="D2">
        <v>45</v>
      </c>
    </row>
    <row r="3" spans="1:4" x14ac:dyDescent="0.3">
      <c r="A3" t="s">
        <v>2</v>
      </c>
      <c r="B3">
        <v>70</v>
      </c>
      <c r="C3">
        <v>40</v>
      </c>
      <c r="D3">
        <v>40</v>
      </c>
    </row>
    <row r="4" spans="1:4" x14ac:dyDescent="0.3">
      <c r="A4" t="s">
        <v>3</v>
      </c>
      <c r="B4">
        <v>65</v>
      </c>
      <c r="C4">
        <v>35</v>
      </c>
      <c r="D4">
        <v>55</v>
      </c>
    </row>
    <row r="5" spans="1:4" x14ac:dyDescent="0.3">
      <c r="A5" t="s">
        <v>4</v>
      </c>
      <c r="B5">
        <v>0.85809999999999997</v>
      </c>
      <c r="C5">
        <v>4.1000000000000003E-3</v>
      </c>
      <c r="D5">
        <v>0.76719999999999999</v>
      </c>
    </row>
    <row r="6" spans="1:4" x14ac:dyDescent="0.3">
      <c r="A6" t="s">
        <v>5</v>
      </c>
      <c r="B6">
        <v>2.81E-2</v>
      </c>
      <c r="C6">
        <v>0.6129</v>
      </c>
      <c r="D6">
        <v>0.79759999999999998</v>
      </c>
    </row>
    <row r="7" spans="1:4" x14ac:dyDescent="0.3">
      <c r="A7" t="s">
        <v>6</v>
      </c>
      <c r="B7">
        <v>0.15740000000000001</v>
      </c>
      <c r="C7">
        <v>0.64249999999999996</v>
      </c>
      <c r="D7">
        <v>0.69440000000000002</v>
      </c>
    </row>
    <row r="8" spans="1:4" x14ac:dyDescent="0.3">
      <c r="A8" t="s">
        <v>9</v>
      </c>
      <c r="B8">
        <f>82.4%+0.2%+3.2%</f>
        <v>0.8580000000000001</v>
      </c>
      <c r="C8">
        <f>0.1%+0.2%</f>
        <v>3.0000000000000001E-3</v>
      </c>
      <c r="D8">
        <f>14.6%+13.3%+43.2%+4.7%</f>
        <v>0.75800000000000012</v>
      </c>
    </row>
    <row r="9" spans="1:4" x14ac:dyDescent="0.3">
      <c r="A9" t="s">
        <v>10</v>
      </c>
      <c r="B9">
        <f>0.2%+2.2%+0.5%</f>
        <v>2.9000000000000001E-2</v>
      </c>
      <c r="C9">
        <f>55%+0.1%+2.4%</f>
        <v>0.57500000000000007</v>
      </c>
      <c r="D9">
        <f>13.3%+7.2%+14.6%+43.2%</f>
        <v>0.78300000000000003</v>
      </c>
    </row>
    <row r="10" spans="1:4" x14ac:dyDescent="0.3">
      <c r="A10" t="s">
        <v>11</v>
      </c>
      <c r="B10">
        <f>11.4%+0.5%+3.2%</f>
        <v>0.15100000000000002</v>
      </c>
      <c r="C10">
        <f>42%+2.4%</f>
        <v>0.44400000000000001</v>
      </c>
      <c r="D10">
        <f>3.7%+7.2%+4.7%+43.2%</f>
        <v>0.58800000000000008</v>
      </c>
    </row>
    <row r="11" spans="1:4" x14ac:dyDescent="0.3">
      <c r="A11" t="s">
        <v>12</v>
      </c>
      <c r="B11">
        <f>SQRT(SUM((B5-B8)^2,(B6-B9)^2,(B7-B10)^2))</f>
        <v>6.4637450444769116E-3</v>
      </c>
      <c r="C11">
        <f>SQRT(SUM((C5-C8)^2,(C6-C9)^2,(C7-C10)^2))</f>
        <v>0.20208876762452677</v>
      </c>
      <c r="D11">
        <f>SQRT(SUM((D5-D8)^2,(D6-D9)^2,(D7-D10)^2))</f>
        <v>0.10779035207290114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EAE2-4F35-40CF-9A6D-194DFA27EA7F}">
  <dimension ref="A1:E12"/>
  <sheetViews>
    <sheetView workbookViewId="0">
      <selection sqref="A1:E12"/>
    </sheetView>
  </sheetViews>
  <sheetFormatPr defaultRowHeight="14.4" x14ac:dyDescent="0.3"/>
  <cols>
    <col min="1" max="1" width="27.109375" bestFit="1" customWidth="1"/>
    <col min="2" max="2" width="16.21875" bestFit="1" customWidth="1"/>
    <col min="3" max="3" width="16.33203125" bestFit="1" customWidth="1"/>
    <col min="4" max="4" width="15.44140625" bestFit="1" customWidth="1"/>
    <col min="6" max="6" width="18" bestFit="1" customWidth="1"/>
    <col min="7" max="7" width="16.21875" bestFit="1" customWidth="1"/>
    <col min="8" max="8" width="16.33203125" bestFit="1" customWidth="1"/>
    <col min="9" max="9" width="15.44140625" bestFit="1" customWidth="1"/>
  </cols>
  <sheetData>
    <row r="1" spans="1:5" x14ac:dyDescent="0.3">
      <c r="A1" t="s">
        <v>23</v>
      </c>
      <c r="B1" t="s">
        <v>16</v>
      </c>
      <c r="C1" t="s">
        <v>17</v>
      </c>
      <c r="D1" t="s">
        <v>18</v>
      </c>
      <c r="E1" t="s">
        <v>12</v>
      </c>
    </row>
    <row r="2" spans="1:5" x14ac:dyDescent="0.3">
      <c r="A2">
        <v>30</v>
      </c>
      <c r="B2">
        <v>0.71345272802998805</v>
      </c>
      <c r="C2">
        <v>0.84902124114952104</v>
      </c>
      <c r="D2">
        <v>0.95418575593502697</v>
      </c>
      <c r="E2">
        <v>0.37474694337992998</v>
      </c>
    </row>
    <row r="3" spans="1:5" x14ac:dyDescent="0.3">
      <c r="A3">
        <v>35</v>
      </c>
      <c r="B3">
        <v>0.70338797814207699</v>
      </c>
      <c r="C3">
        <v>0.76415300546448095</v>
      </c>
      <c r="D3">
        <v>0.93945355191256796</v>
      </c>
      <c r="E3">
        <v>0.356170298152994</v>
      </c>
    </row>
    <row r="4" spans="1:5" x14ac:dyDescent="0.3">
      <c r="A4">
        <v>40</v>
      </c>
      <c r="B4">
        <v>0.71543370361616598</v>
      </c>
      <c r="C4">
        <v>0.69959820373434201</v>
      </c>
      <c r="D4">
        <v>0.92436776175845004</v>
      </c>
      <c r="E4">
        <v>0.34915758671202302</v>
      </c>
    </row>
    <row r="5" spans="1:5" x14ac:dyDescent="0.3">
      <c r="A5">
        <v>45</v>
      </c>
      <c r="B5">
        <v>0.72627551020408199</v>
      </c>
      <c r="C5">
        <v>0.63724489795918404</v>
      </c>
      <c r="D5">
        <v>0.89311224489795904</v>
      </c>
      <c r="E5">
        <v>0.33962402007280401</v>
      </c>
    </row>
    <row r="6" spans="1:5" x14ac:dyDescent="0.3">
      <c r="A6">
        <v>50</v>
      </c>
      <c r="B6">
        <v>0.73353540920363702</v>
      </c>
      <c r="C6">
        <v>0.59437861669881498</v>
      </c>
      <c r="D6">
        <v>0.84926977128685599</v>
      </c>
      <c r="E6">
        <v>0.323169360907825</v>
      </c>
    </row>
    <row r="7" spans="1:5" x14ac:dyDescent="0.3">
      <c r="A7">
        <v>55</v>
      </c>
      <c r="B7">
        <v>0.74772313296903503</v>
      </c>
      <c r="C7">
        <v>0.53460837887067403</v>
      </c>
      <c r="D7">
        <v>0.78233151183970895</v>
      </c>
      <c r="E7">
        <v>0.315545159901295</v>
      </c>
    </row>
    <row r="8" spans="1:5" x14ac:dyDescent="0.3">
      <c r="A8">
        <v>60</v>
      </c>
      <c r="B8">
        <v>0.76774193548387104</v>
      </c>
      <c r="C8">
        <v>0.44923599320882901</v>
      </c>
      <c r="D8">
        <v>0.71477079796264897</v>
      </c>
      <c r="E8">
        <v>0.35716124195152499</v>
      </c>
    </row>
    <row r="9" spans="1:5" x14ac:dyDescent="0.3">
      <c r="A9">
        <v>65</v>
      </c>
      <c r="B9">
        <v>0.77270985051744001</v>
      </c>
      <c r="C9">
        <v>0.36987351475661201</v>
      </c>
      <c r="D9">
        <v>0.64047527788424696</v>
      </c>
      <c r="E9">
        <v>0.41670556427869998</v>
      </c>
    </row>
    <row r="10" spans="1:5" x14ac:dyDescent="0.3">
      <c r="A10">
        <v>70</v>
      </c>
      <c r="B10">
        <v>0.77452745274527501</v>
      </c>
      <c r="C10">
        <v>0.29162916291629198</v>
      </c>
      <c r="D10">
        <v>0.56075607560756102</v>
      </c>
      <c r="E10">
        <v>0.49240297282499501</v>
      </c>
    </row>
    <row r="11" spans="1:5" x14ac:dyDescent="0.3">
      <c r="A11">
        <v>75</v>
      </c>
      <c r="B11">
        <v>0.77102272727272703</v>
      </c>
      <c r="C11">
        <v>0.22443181818181801</v>
      </c>
      <c r="D11">
        <v>0.47840909090909101</v>
      </c>
      <c r="E11">
        <v>0.56936646592564699</v>
      </c>
    </row>
    <row r="12" spans="1:5" x14ac:dyDescent="0.3">
      <c r="A12">
        <v>80</v>
      </c>
      <c r="B12">
        <v>0.76564885496183199</v>
      </c>
      <c r="C12">
        <v>0.158778625954198</v>
      </c>
      <c r="D12">
        <v>0.35114503816793902</v>
      </c>
      <c r="E12">
        <v>0.66769087289128304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579E-D9CF-4841-B34B-55F64995DF2F}">
  <dimension ref="A1:E12"/>
  <sheetViews>
    <sheetView workbookViewId="0">
      <selection activeCell="E19" sqref="E19"/>
    </sheetView>
  </sheetViews>
  <sheetFormatPr defaultRowHeight="14.4" x14ac:dyDescent="0.3"/>
  <cols>
    <col min="1" max="1" width="21.88671875" bestFit="1" customWidth="1"/>
    <col min="2" max="2" width="16.21875" bestFit="1" customWidth="1"/>
    <col min="3" max="3" width="16.33203125" bestFit="1" customWidth="1"/>
    <col min="4" max="4" width="15.44140625" bestFit="1" customWidth="1"/>
  </cols>
  <sheetData>
    <row r="1" spans="1:5" x14ac:dyDescent="0.3">
      <c r="A1" t="s">
        <v>22</v>
      </c>
      <c r="B1" t="s">
        <v>13</v>
      </c>
      <c r="C1" t="s">
        <v>14</v>
      </c>
      <c r="D1" t="s">
        <v>15</v>
      </c>
      <c r="E1" t="s">
        <v>12</v>
      </c>
    </row>
    <row r="2" spans="1:5" x14ac:dyDescent="0.3">
      <c r="A2">
        <v>30</v>
      </c>
      <c r="B2">
        <v>1.8743834265044401E-2</v>
      </c>
      <c r="C2">
        <v>0.70437356132851003</v>
      </c>
      <c r="D2">
        <v>0.68431437027293696</v>
      </c>
      <c r="E2">
        <v>0.27337955894299198</v>
      </c>
    </row>
    <row r="3" spans="1:5" x14ac:dyDescent="0.3">
      <c r="A3">
        <v>35</v>
      </c>
      <c r="B3">
        <v>1.84426229508197E-2</v>
      </c>
      <c r="C3">
        <v>0.70901639344262302</v>
      </c>
      <c r="D3">
        <v>0.57827868852458997</v>
      </c>
      <c r="E3">
        <v>0.190340837727622</v>
      </c>
    </row>
    <row r="4" spans="1:5" x14ac:dyDescent="0.3">
      <c r="A4">
        <v>40</v>
      </c>
      <c r="B4">
        <v>1.7543859649122799E-2</v>
      </c>
      <c r="C4">
        <v>0.71557682083997898</v>
      </c>
      <c r="D4">
        <v>0.46517809675704402</v>
      </c>
      <c r="E4">
        <v>0.14290513704279401</v>
      </c>
    </row>
    <row r="5" spans="1:5" x14ac:dyDescent="0.3">
      <c r="A5">
        <v>45</v>
      </c>
      <c r="B5">
        <v>2.1739130434782601E-2</v>
      </c>
      <c r="C5">
        <v>0.75942028985507304</v>
      </c>
      <c r="D5">
        <v>0.36231884057970998</v>
      </c>
      <c r="E5">
        <v>0.20256803825856501</v>
      </c>
    </row>
    <row r="6" spans="1:5" x14ac:dyDescent="0.3">
      <c r="A6">
        <v>50</v>
      </c>
      <c r="B6">
        <v>2.86885245901639E-2</v>
      </c>
      <c r="C6">
        <v>0.80327868852458995</v>
      </c>
      <c r="D6">
        <v>0.26127049180327899</v>
      </c>
      <c r="E6">
        <v>0.29353216705489399</v>
      </c>
    </row>
    <row r="7" spans="1:5" x14ac:dyDescent="0.3">
      <c r="A7">
        <v>55</v>
      </c>
      <c r="B7">
        <v>3.7537537537537503E-2</v>
      </c>
      <c r="C7">
        <v>0.85135135135135098</v>
      </c>
      <c r="D7">
        <v>0.208708708708709</v>
      </c>
      <c r="E7">
        <v>0.36458867597663802</v>
      </c>
    </row>
    <row r="8" spans="1:5" x14ac:dyDescent="0.3">
      <c r="A8">
        <v>60</v>
      </c>
      <c r="B8">
        <v>5.32407407407407E-2</v>
      </c>
      <c r="C8">
        <v>0.87962962962962998</v>
      </c>
      <c r="D8">
        <v>0.171296296296296</v>
      </c>
      <c r="E8">
        <v>0.41193525376226398</v>
      </c>
    </row>
    <row r="9" spans="1:5" x14ac:dyDescent="0.3">
      <c r="A9">
        <v>65</v>
      </c>
      <c r="B9">
        <v>7.8651685393258397E-2</v>
      </c>
      <c r="C9">
        <v>0.917602996254682</v>
      </c>
      <c r="D9">
        <v>0.123595505617978</v>
      </c>
      <c r="E9">
        <v>0.47514106385969801</v>
      </c>
    </row>
    <row r="10" spans="1:5" x14ac:dyDescent="0.3">
      <c r="A10">
        <v>70</v>
      </c>
      <c r="B10">
        <v>9.0361445783132502E-2</v>
      </c>
      <c r="C10">
        <v>0.92771084337349397</v>
      </c>
      <c r="D10">
        <v>8.4337349397590397E-2</v>
      </c>
      <c r="E10">
        <v>0.51126723294272602</v>
      </c>
    </row>
    <row r="11" spans="1:5" x14ac:dyDescent="0.3">
      <c r="A11">
        <v>75</v>
      </c>
      <c r="B11">
        <v>0.125</v>
      </c>
      <c r="C11">
        <v>0.90178571428571397</v>
      </c>
      <c r="D11">
        <v>7.1428571428571397E-2</v>
      </c>
      <c r="E11">
        <v>0.51037473727544502</v>
      </c>
    </row>
    <row r="12" spans="1:5" x14ac:dyDescent="0.3">
      <c r="A12">
        <v>80</v>
      </c>
      <c r="B12">
        <v>0.163636363636364</v>
      </c>
      <c r="C12">
        <v>0.92727272727272703</v>
      </c>
      <c r="D12">
        <v>5.4545454545454501E-2</v>
      </c>
      <c r="E12">
        <v>0.54915840945731298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B295-57B0-47B2-8E52-0C7E757836A6}">
  <dimension ref="A1:E12"/>
  <sheetViews>
    <sheetView tabSelected="1" workbookViewId="0">
      <selection activeCell="D19" sqref="D19"/>
    </sheetView>
  </sheetViews>
  <sheetFormatPr defaultRowHeight="14.4" x14ac:dyDescent="0.3"/>
  <cols>
    <col min="1" max="1" width="21.88671875" bestFit="1" customWidth="1"/>
    <col min="2" max="2" width="16.21875" bestFit="1" customWidth="1"/>
    <col min="3" max="3" width="16.33203125" bestFit="1" customWidth="1"/>
    <col min="4" max="4" width="15.44140625" bestFit="1" customWidth="1"/>
  </cols>
  <sheetData>
    <row r="1" spans="1:5" x14ac:dyDescent="0.3">
      <c r="A1" t="s">
        <v>24</v>
      </c>
      <c r="B1" t="s">
        <v>19</v>
      </c>
      <c r="C1" t="s">
        <v>20</v>
      </c>
      <c r="D1" t="s">
        <v>21</v>
      </c>
      <c r="E1" t="s">
        <v>12</v>
      </c>
    </row>
    <row r="2" spans="1:5" x14ac:dyDescent="0.3">
      <c r="A2">
        <v>30</v>
      </c>
      <c r="B2">
        <v>0.656310057655349</v>
      </c>
      <c r="C2">
        <v>0.46284433055733498</v>
      </c>
      <c r="D2">
        <v>0.855221012171685</v>
      </c>
      <c r="E2">
        <v>0.85136770550910801</v>
      </c>
    </row>
    <row r="3" spans="1:5" x14ac:dyDescent="0.3">
      <c r="A3">
        <v>35</v>
      </c>
      <c r="B3">
        <v>0.62299854439592395</v>
      </c>
      <c r="C3">
        <v>0.33915574963609901</v>
      </c>
      <c r="D3">
        <v>0.81331877729257596</v>
      </c>
      <c r="E3">
        <v>0.76817213951216601</v>
      </c>
    </row>
    <row r="4" spans="1:5" x14ac:dyDescent="0.3">
      <c r="A4">
        <v>40</v>
      </c>
      <c r="B4">
        <v>0.59966000849978796</v>
      </c>
      <c r="C4">
        <v>0.28856778580535503</v>
      </c>
      <c r="D4">
        <v>0.71610709732256705</v>
      </c>
      <c r="E4">
        <v>0.67339514260244104</v>
      </c>
    </row>
    <row r="5" spans="1:5" x14ac:dyDescent="0.3">
      <c r="A5">
        <v>45</v>
      </c>
      <c r="B5">
        <v>0.59645569620253203</v>
      </c>
      <c r="C5">
        <v>0.25265822784810099</v>
      </c>
      <c r="D5">
        <v>0.544303797468354</v>
      </c>
      <c r="E5">
        <v>0.52260530310750197</v>
      </c>
    </row>
    <row r="6" spans="1:5" x14ac:dyDescent="0.3">
      <c r="A6">
        <v>50</v>
      </c>
      <c r="B6">
        <v>0.59571865443425098</v>
      </c>
      <c r="C6">
        <v>0.21223241590214101</v>
      </c>
      <c r="D6">
        <v>0.45810397553516802</v>
      </c>
      <c r="E6">
        <v>0.443484469016244</v>
      </c>
    </row>
    <row r="7" spans="1:5" x14ac:dyDescent="0.3">
      <c r="A7">
        <v>55</v>
      </c>
      <c r="B7">
        <v>0.62125748502994005</v>
      </c>
      <c r="C7">
        <v>0.170658682634731</v>
      </c>
      <c r="D7">
        <v>0.38997005988024003</v>
      </c>
      <c r="E7">
        <v>0.36499437020222902</v>
      </c>
    </row>
    <row r="8" spans="1:5" x14ac:dyDescent="0.3">
      <c r="A8">
        <v>60</v>
      </c>
      <c r="B8">
        <v>0.63971248876909304</v>
      </c>
      <c r="C8">
        <v>0.134770889487871</v>
      </c>
      <c r="D8">
        <v>0.36028751123090702</v>
      </c>
      <c r="E8">
        <v>0.32037194162358601</v>
      </c>
    </row>
    <row r="9" spans="1:5" x14ac:dyDescent="0.3">
      <c r="A9">
        <v>65</v>
      </c>
      <c r="B9">
        <v>0.65096359743040699</v>
      </c>
      <c r="C9">
        <v>0.10813704496788</v>
      </c>
      <c r="D9">
        <v>0.33618843683083499</v>
      </c>
      <c r="E9">
        <v>0.28882780512107098</v>
      </c>
    </row>
    <row r="10" spans="1:5" x14ac:dyDescent="0.3">
      <c r="A10">
        <v>70</v>
      </c>
      <c r="B10">
        <v>0.66986301369862999</v>
      </c>
      <c r="C10">
        <v>7.6712328767123306E-2</v>
      </c>
      <c r="D10">
        <v>0.306849315068493</v>
      </c>
      <c r="E10">
        <v>0.24891966764051099</v>
      </c>
    </row>
    <row r="11" spans="1:5" x14ac:dyDescent="0.3">
      <c r="A11">
        <v>75</v>
      </c>
      <c r="B11">
        <v>0.69565217391304401</v>
      </c>
      <c r="C11">
        <v>7.5098814229248995E-2</v>
      </c>
      <c r="D11">
        <v>0.26679841897233197</v>
      </c>
      <c r="E11">
        <v>0.20467337673716901</v>
      </c>
    </row>
    <row r="12" spans="1:5" x14ac:dyDescent="0.3">
      <c r="A12">
        <v>80</v>
      </c>
      <c r="B12">
        <v>0.721476510067114</v>
      </c>
      <c r="C12">
        <v>6.3758389261744999E-2</v>
      </c>
      <c r="D12">
        <v>0.228187919463087</v>
      </c>
      <c r="E12">
        <v>0.16063867479086699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Optimal thresholds</vt:lpstr>
      <vt:lpstr>PBT025 summary</vt:lpstr>
      <vt:lpstr>PBT018 summary</vt:lpstr>
      <vt:lpstr>PBT030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Runpeng Li</dc:creator>
  <cp:lastModifiedBy>Runpeng Li</cp:lastModifiedBy>
  <dcterms:created xsi:type="dcterms:W3CDTF">2015-06-05T18:17:20Z</dcterms:created>
  <dcterms:modified xsi:type="dcterms:W3CDTF">2024-04-21T00:47:06Z</dcterms:modified>
</cp:coreProperties>
</file>